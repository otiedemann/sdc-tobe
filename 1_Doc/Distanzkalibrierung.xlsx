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Python_MER\Drohne\DistanceCalibration\"/>
    </mc:Choice>
  </mc:AlternateContent>
  <bookViews>
    <workbookView xWindow="0" yWindow="0" windowWidth="28800" windowHeight="12585" activeTab="1"/>
  </bookViews>
  <sheets>
    <sheet name="calibration_results" sheetId="1" r:id="rId1"/>
    <sheet name="Tabelle1" sheetId="2" r:id="rId2"/>
  </sheets>
  <calcPr calcId="0"/>
</workbook>
</file>

<file path=xl/calcChain.xml><?xml version="1.0" encoding="utf-8"?>
<calcChain xmlns="http://schemas.openxmlformats.org/spreadsheetml/2006/main">
  <c r="O20" i="2" l="1"/>
  <c r="O21" i="2"/>
  <c r="O22" i="2"/>
  <c r="O23" i="2"/>
  <c r="O24" i="2"/>
  <c r="O19" i="2"/>
  <c r="N20" i="2"/>
  <c r="N21" i="2" s="1"/>
  <c r="N22" i="2" s="1"/>
  <c r="N23" i="2" s="1"/>
  <c r="N24" i="2" s="1"/>
  <c r="O7" i="2"/>
  <c r="O8" i="2"/>
  <c r="O9" i="2"/>
  <c r="O10" i="2"/>
  <c r="O11" i="2"/>
  <c r="O3" i="2"/>
  <c r="O4" i="2"/>
  <c r="O5" i="2"/>
  <c r="O6" i="2"/>
  <c r="O2" i="2"/>
  <c r="I3" i="2"/>
  <c r="J3" i="2"/>
  <c r="K3" i="2"/>
  <c r="H3" i="2"/>
  <c r="J2" i="2"/>
  <c r="K2" i="2"/>
  <c r="I2" i="2"/>
  <c r="H2" i="2"/>
</calcChain>
</file>

<file path=xl/sharedStrings.xml><?xml version="1.0" encoding="utf-8"?>
<sst xmlns="http://schemas.openxmlformats.org/spreadsheetml/2006/main" count="71" uniqueCount="20">
  <si>
    <t>file</t>
  </si>
  <si>
    <t>distance_m</t>
  </si>
  <si>
    <t>marker_id</t>
  </si>
  <si>
    <t>width_px</t>
  </si>
  <si>
    <t>height_px</t>
  </si>
  <si>
    <t>avg_px</t>
  </si>
  <si>
    <t>mm_per_px</t>
  </si>
  <si>
    <t>1m_1.png</t>
  </si>
  <si>
    <t>1m_2.png</t>
  </si>
  <si>
    <t>1m_3.png</t>
  </si>
  <si>
    <t>1m_4.png</t>
  </si>
  <si>
    <t>1m_5.png</t>
  </si>
  <si>
    <t>5m_1.png</t>
  </si>
  <si>
    <t>5m_2.png</t>
  </si>
  <si>
    <t>5m_3.png</t>
  </si>
  <si>
    <t>5m_4.png</t>
  </si>
  <si>
    <t>5m_5.png</t>
  </si>
  <si>
    <t>Distance</t>
  </si>
  <si>
    <t>Pixel</t>
  </si>
  <si>
    <t>Distanz[m]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</si>
</sst>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65" fontId="0" fillId="0" borderId="0" xfId="0" applyNumberFormat="1"/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Aruco</a:t>
            </a:r>
            <a:r>
              <a:rPr lang="de-DE" baseline="0"/>
              <a:t> 18cm in Pixel</a:t>
            </a:r>
            <a:endParaRPr lang="de-D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Tabelle1!$G$2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Tabelle1!$J$2</c:f>
              <c:numCache>
                <c:formatCode>0</c:formatCode>
                <c:ptCount val="1"/>
                <c:pt idx="0">
                  <c:v>126.28</c:v>
                </c:pt>
              </c:numCache>
            </c:numRef>
          </c:yVal>
          <c:smooth val="0"/>
        </c:ser>
        <c:ser>
          <c:idx val="1"/>
          <c:order val="1"/>
          <c:tx>
            <c:v>5m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Tabelle1!$G$3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Tabelle1!$J$3</c:f>
              <c:numCache>
                <c:formatCode>0</c:formatCode>
                <c:ptCount val="1"/>
                <c:pt idx="0">
                  <c:v>15.919499999999996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514528"/>
        <c:axId val="1639529216"/>
      </c:scatterChart>
      <c:valAx>
        <c:axId val="163951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Distanz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9529216"/>
        <c:crosses val="autoZero"/>
        <c:crossBetween val="midCat"/>
      </c:valAx>
      <c:valAx>
        <c:axId val="16395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Pixel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951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Berechnete</a:t>
            </a:r>
            <a:r>
              <a:rPr lang="de-DE" baseline="0"/>
              <a:t> </a:t>
            </a:r>
            <a:r>
              <a:rPr lang="de-DE"/>
              <a:t>Pixel</a:t>
            </a:r>
            <a:r>
              <a:rPr lang="de-DE" baseline="0"/>
              <a:t> pro Distanz</a:t>
            </a:r>
            <a:endParaRPr lang="de-D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613851386969863"/>
                  <c:y val="-0.591859500237325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Tabelle1!$N$2:$N$11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Tabelle1!$O$2:$O$11</c:f>
              <c:numCache>
                <c:formatCode>#,##0</c:formatCode>
                <c:ptCount val="10"/>
                <c:pt idx="0">
                  <c:v>126</c:v>
                </c:pt>
                <c:pt idx="1">
                  <c:v>50.537413480206638</c:v>
                </c:pt>
                <c:pt idx="2">
                  <c:v>29.615886116504168</c:v>
                </c:pt>
                <c:pt idx="3">
                  <c:v>20.270080644995012</c:v>
                </c:pt>
                <c:pt idx="4">
                  <c:v>15.10525563200366</c:v>
                </c:pt>
                <c:pt idx="5">
                  <c:v>11.878653033749865</c:v>
                </c:pt>
                <c:pt idx="6">
                  <c:v>9.6946320022543109</c:v>
                </c:pt>
                <c:pt idx="7">
                  <c:v>8.1301384669305321</c:v>
                </c:pt>
                <c:pt idx="8">
                  <c:v>6.9611167497281308</c:v>
                </c:pt>
                <c:pt idx="9">
                  <c:v>6.058575790466576</c:v>
                </c:pt>
              </c:numCache>
            </c:numRef>
          </c:y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47279392"/>
        <c:axId val="1647282112"/>
      </c:scatterChart>
      <c:valAx>
        <c:axId val="164727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Distanz[m]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7282112"/>
        <c:crosses val="autoZero"/>
        <c:crossBetween val="midCat"/>
      </c:valAx>
      <c:valAx>
        <c:axId val="164728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Pixel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727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Berechnete Distanz[m] pro Pixel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Tabelle1!$O$18</c:f>
              <c:strCache>
                <c:ptCount val="1"/>
                <c:pt idx="0">
                  <c:v>Distanz[m]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612532808398949"/>
                  <c:y val="-0.634656969962088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Tabelle1!$N$19:$N$24</c:f>
              <c:numCache>
                <c:formatCode>General</c:formatCode>
                <c:ptCount val="6"/>
                <c:pt idx="0">
                  <c:v>160</c:v>
                </c:pt>
                <c:pt idx="1">
                  <c:v>130</c:v>
                </c:pt>
                <c:pt idx="2">
                  <c:v>100</c:v>
                </c:pt>
                <c:pt idx="3">
                  <c:v>70</c:v>
                </c:pt>
                <c:pt idx="4">
                  <c:v>40</c:v>
                </c:pt>
                <c:pt idx="5">
                  <c:v>10</c:v>
                </c:pt>
              </c:numCache>
            </c:numRef>
          </c:xVal>
          <c:yVal>
            <c:numRef>
              <c:f>Tabelle1!$O$19:$O$24</c:f>
              <c:numCache>
                <c:formatCode>0.00</c:formatCode>
                <c:ptCount val="6"/>
                <c:pt idx="0">
                  <c:v>0.83420910719017005</c:v>
                </c:pt>
                <c:pt idx="1">
                  <c:v>0.97656454746933541</c:v>
                </c:pt>
                <c:pt idx="2">
                  <c:v>1.1916841680755941</c:v>
                </c:pt>
                <c:pt idx="3">
                  <c:v>1.5620710256145369</c:v>
                </c:pt>
                <c:pt idx="4">
                  <c:v>2.3884604165898948</c:v>
                </c:pt>
                <c:pt idx="5">
                  <c:v>6.8385050132475866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522144"/>
        <c:axId val="1639515616"/>
      </c:scatterChart>
      <c:valAx>
        <c:axId val="163952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Pixel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9515616"/>
        <c:crosses val="autoZero"/>
        <c:crossBetween val="midCat"/>
      </c:valAx>
      <c:valAx>
        <c:axId val="16395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Distanz[m]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952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100012</xdr:rowOff>
    </xdr:from>
    <xdr:to>
      <xdr:col>10</xdr:col>
      <xdr:colOff>571500</xdr:colOff>
      <xdr:row>18</xdr:row>
      <xdr:rowOff>176212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219075</xdr:colOff>
      <xdr:row>1</xdr:row>
      <xdr:rowOff>71437</xdr:rowOff>
    </xdr:from>
    <xdr:to>
      <xdr:col>21</xdr:col>
      <xdr:colOff>152400</xdr:colOff>
      <xdr:row>13</xdr:row>
      <xdr:rowOff>161925</xdr:rowOff>
    </xdr:to>
    <xdr:graphicFrame macro="">
      <xdr:nvGraphicFramePr>
        <xdr:cNvPr id="5" name="Diagram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247650</xdr:colOff>
      <xdr:row>18</xdr:row>
      <xdr:rowOff>42862</xdr:rowOff>
    </xdr:from>
    <xdr:to>
      <xdr:col>21</xdr:col>
      <xdr:colOff>247650</xdr:colOff>
      <xdr:row>32</xdr:row>
      <xdr:rowOff>119062</xdr:rowOff>
    </xdr:to>
    <xdr:graphicFrame macro="">
      <xdr:nvGraphicFramePr>
        <xdr:cNvPr id="6" name="Diagram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2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1</v>
      </c>
      <c r="D2">
        <v>146.11000000000001</v>
      </c>
      <c r="E2">
        <v>126.14</v>
      </c>
      <c r="F2">
        <v>136.13</v>
      </c>
      <c r="G2">
        <v>1.4692000000000001</v>
      </c>
    </row>
    <row r="3" spans="1:7" x14ac:dyDescent="0.25">
      <c r="A3" t="s">
        <v>8</v>
      </c>
      <c r="B3">
        <v>1</v>
      </c>
      <c r="C3">
        <v>1</v>
      </c>
      <c r="D3">
        <v>125.19</v>
      </c>
      <c r="E3">
        <v>125.29</v>
      </c>
      <c r="F3">
        <v>125.24</v>
      </c>
      <c r="G3">
        <v>1.5969</v>
      </c>
    </row>
    <row r="4" spans="1:7" x14ac:dyDescent="0.25">
      <c r="A4" t="s">
        <v>9</v>
      </c>
      <c r="B4">
        <v>1</v>
      </c>
      <c r="C4">
        <v>1</v>
      </c>
      <c r="D4">
        <v>121.01</v>
      </c>
      <c r="E4">
        <v>122.54</v>
      </c>
      <c r="F4">
        <v>121.77</v>
      </c>
      <c r="G4">
        <v>1.6424000000000001</v>
      </c>
    </row>
    <row r="5" spans="1:7" x14ac:dyDescent="0.25">
      <c r="A5" t="s">
        <v>10</v>
      </c>
      <c r="B5">
        <v>1</v>
      </c>
      <c r="C5">
        <v>1</v>
      </c>
      <c r="D5">
        <v>124.2</v>
      </c>
      <c r="E5">
        <v>123.29</v>
      </c>
      <c r="F5">
        <v>123.75</v>
      </c>
      <c r="G5">
        <v>1.6162000000000001</v>
      </c>
    </row>
    <row r="6" spans="1:7" x14ac:dyDescent="0.25">
      <c r="A6" t="s">
        <v>11</v>
      </c>
      <c r="B6">
        <v>1</v>
      </c>
      <c r="C6">
        <v>1</v>
      </c>
      <c r="D6">
        <v>124.7</v>
      </c>
      <c r="E6">
        <v>124.33</v>
      </c>
      <c r="F6">
        <v>124.51</v>
      </c>
      <c r="G6">
        <v>1.6063000000000001</v>
      </c>
    </row>
    <row r="7" spans="1:7" x14ac:dyDescent="0.25">
      <c r="A7" t="s">
        <v>12</v>
      </c>
      <c r="B7">
        <v>5</v>
      </c>
      <c r="C7">
        <v>4</v>
      </c>
      <c r="D7">
        <v>16.53</v>
      </c>
      <c r="E7">
        <v>16.02</v>
      </c>
      <c r="F7">
        <v>16.27</v>
      </c>
      <c r="G7">
        <v>12.2926</v>
      </c>
    </row>
    <row r="8" spans="1:7" x14ac:dyDescent="0.25">
      <c r="A8" t="s">
        <v>12</v>
      </c>
      <c r="B8">
        <v>5</v>
      </c>
      <c r="C8">
        <v>3</v>
      </c>
      <c r="D8">
        <v>17.03</v>
      </c>
      <c r="E8">
        <v>15.03</v>
      </c>
      <c r="F8">
        <v>16.03</v>
      </c>
      <c r="G8">
        <v>12.476599999999999</v>
      </c>
    </row>
    <row r="9" spans="1:7" x14ac:dyDescent="0.25">
      <c r="A9" t="s">
        <v>12</v>
      </c>
      <c r="B9">
        <v>5</v>
      </c>
      <c r="C9">
        <v>2</v>
      </c>
      <c r="D9">
        <v>15</v>
      </c>
      <c r="E9">
        <v>16</v>
      </c>
      <c r="F9">
        <v>15.5</v>
      </c>
      <c r="G9">
        <v>12.9032</v>
      </c>
    </row>
    <row r="10" spans="1:7" x14ac:dyDescent="0.25">
      <c r="A10" t="s">
        <v>12</v>
      </c>
      <c r="B10">
        <v>5</v>
      </c>
      <c r="C10">
        <v>1</v>
      </c>
      <c r="D10">
        <v>15.02</v>
      </c>
      <c r="E10">
        <v>15.53</v>
      </c>
      <c r="F10">
        <v>15.27</v>
      </c>
      <c r="G10">
        <v>13.0976</v>
      </c>
    </row>
    <row r="11" spans="1:7" x14ac:dyDescent="0.25">
      <c r="A11" t="s">
        <v>13</v>
      </c>
      <c r="B11">
        <v>5</v>
      </c>
      <c r="C11">
        <v>4</v>
      </c>
      <c r="D11">
        <v>18.07</v>
      </c>
      <c r="E11">
        <v>16.53</v>
      </c>
      <c r="F11">
        <v>17.3</v>
      </c>
      <c r="G11">
        <v>11.560700000000001</v>
      </c>
    </row>
    <row r="12" spans="1:7" x14ac:dyDescent="0.25">
      <c r="A12" t="s">
        <v>13</v>
      </c>
      <c r="B12">
        <v>5</v>
      </c>
      <c r="C12">
        <v>3</v>
      </c>
      <c r="D12">
        <v>18.03</v>
      </c>
      <c r="E12">
        <v>17.03</v>
      </c>
      <c r="F12">
        <v>17.53</v>
      </c>
      <c r="G12">
        <v>11.409000000000001</v>
      </c>
    </row>
    <row r="13" spans="1:7" x14ac:dyDescent="0.25">
      <c r="A13" t="s">
        <v>13</v>
      </c>
      <c r="B13">
        <v>5</v>
      </c>
      <c r="C13">
        <v>2</v>
      </c>
      <c r="D13">
        <v>16</v>
      </c>
      <c r="E13">
        <v>16</v>
      </c>
      <c r="F13">
        <v>16</v>
      </c>
      <c r="G13">
        <v>12.5</v>
      </c>
    </row>
    <row r="14" spans="1:7" x14ac:dyDescent="0.25">
      <c r="A14" t="s">
        <v>13</v>
      </c>
      <c r="B14">
        <v>5</v>
      </c>
      <c r="C14">
        <v>1</v>
      </c>
      <c r="D14">
        <v>15.02</v>
      </c>
      <c r="E14">
        <v>15.53</v>
      </c>
      <c r="F14">
        <v>15.27</v>
      </c>
      <c r="G14">
        <v>13.0976</v>
      </c>
    </row>
    <row r="15" spans="1:7" x14ac:dyDescent="0.25">
      <c r="A15" t="s">
        <v>14</v>
      </c>
      <c r="B15">
        <v>5</v>
      </c>
      <c r="C15">
        <v>4</v>
      </c>
      <c r="D15">
        <v>17.57</v>
      </c>
      <c r="E15">
        <v>16.57</v>
      </c>
      <c r="F15">
        <v>17.07</v>
      </c>
      <c r="G15">
        <v>11.7165</v>
      </c>
    </row>
    <row r="16" spans="1:7" x14ac:dyDescent="0.25">
      <c r="A16" t="s">
        <v>14</v>
      </c>
      <c r="B16">
        <v>5</v>
      </c>
      <c r="C16">
        <v>3</v>
      </c>
      <c r="D16">
        <v>18</v>
      </c>
      <c r="E16">
        <v>16</v>
      </c>
      <c r="F16">
        <v>17</v>
      </c>
      <c r="G16">
        <v>11.764699999999999</v>
      </c>
    </row>
    <row r="17" spans="1:7" x14ac:dyDescent="0.25">
      <c r="A17" t="s">
        <v>14</v>
      </c>
      <c r="B17">
        <v>5</v>
      </c>
      <c r="C17">
        <v>2</v>
      </c>
      <c r="D17">
        <v>15.03</v>
      </c>
      <c r="E17">
        <v>16.03</v>
      </c>
      <c r="F17">
        <v>15.53</v>
      </c>
      <c r="G17">
        <v>12.878299999999999</v>
      </c>
    </row>
    <row r="18" spans="1:7" x14ac:dyDescent="0.25">
      <c r="A18" t="s">
        <v>14</v>
      </c>
      <c r="B18">
        <v>5</v>
      </c>
      <c r="C18">
        <v>1</v>
      </c>
      <c r="D18">
        <v>15.52</v>
      </c>
      <c r="E18">
        <v>15.52</v>
      </c>
      <c r="F18">
        <v>15.52</v>
      </c>
      <c r="G18">
        <v>12.8866</v>
      </c>
    </row>
    <row r="19" spans="1:7" x14ac:dyDescent="0.25">
      <c r="A19" t="s">
        <v>15</v>
      </c>
      <c r="B19">
        <v>5</v>
      </c>
      <c r="C19">
        <v>4</v>
      </c>
      <c r="D19">
        <v>17.010000000000002</v>
      </c>
      <c r="E19">
        <v>15.5</v>
      </c>
      <c r="F19">
        <v>16.260000000000002</v>
      </c>
      <c r="G19">
        <v>12.3001</v>
      </c>
    </row>
    <row r="20" spans="1:7" x14ac:dyDescent="0.25">
      <c r="A20" t="s">
        <v>15</v>
      </c>
      <c r="B20">
        <v>5</v>
      </c>
      <c r="C20">
        <v>3</v>
      </c>
      <c r="D20">
        <v>18</v>
      </c>
      <c r="E20">
        <v>16</v>
      </c>
      <c r="F20">
        <v>17</v>
      </c>
      <c r="G20">
        <v>11.764699999999999</v>
      </c>
    </row>
    <row r="21" spans="1:7" x14ac:dyDescent="0.25">
      <c r="A21" t="s">
        <v>15</v>
      </c>
      <c r="B21">
        <v>5</v>
      </c>
      <c r="C21">
        <v>1</v>
      </c>
      <c r="D21">
        <v>16</v>
      </c>
      <c r="E21">
        <v>16</v>
      </c>
      <c r="F21">
        <v>16</v>
      </c>
      <c r="G21">
        <v>12.5</v>
      </c>
    </row>
    <row r="22" spans="1:7" x14ac:dyDescent="0.25">
      <c r="A22" t="s">
        <v>15</v>
      </c>
      <c r="B22">
        <v>5</v>
      </c>
      <c r="C22">
        <v>2</v>
      </c>
      <c r="D22">
        <v>15.52</v>
      </c>
      <c r="E22">
        <v>15.52</v>
      </c>
      <c r="F22">
        <v>15.52</v>
      </c>
      <c r="G22">
        <v>12.8866</v>
      </c>
    </row>
    <row r="23" spans="1:7" x14ac:dyDescent="0.25">
      <c r="A23" t="s">
        <v>16</v>
      </c>
      <c r="B23">
        <v>5</v>
      </c>
      <c r="C23">
        <v>3</v>
      </c>
      <c r="D23">
        <v>16.03</v>
      </c>
      <c r="E23">
        <v>14.04</v>
      </c>
      <c r="F23">
        <v>15.03</v>
      </c>
      <c r="G23">
        <v>13.306699999999999</v>
      </c>
    </row>
    <row r="24" spans="1:7" x14ac:dyDescent="0.25">
      <c r="A24" t="s">
        <v>16</v>
      </c>
      <c r="B24">
        <v>5</v>
      </c>
      <c r="C24">
        <v>4</v>
      </c>
      <c r="D24">
        <v>15.03</v>
      </c>
      <c r="E24">
        <v>15.03</v>
      </c>
      <c r="F24">
        <v>15.03</v>
      </c>
      <c r="G24">
        <v>13.306699999999999</v>
      </c>
    </row>
    <row r="25" spans="1:7" x14ac:dyDescent="0.25">
      <c r="A25" t="s">
        <v>16</v>
      </c>
      <c r="B25">
        <v>5</v>
      </c>
      <c r="C25">
        <v>2</v>
      </c>
      <c r="D25">
        <v>14.5</v>
      </c>
      <c r="E25">
        <v>15.02</v>
      </c>
      <c r="F25">
        <v>14.76</v>
      </c>
      <c r="G25">
        <v>13.5501</v>
      </c>
    </row>
    <row r="26" spans="1:7" x14ac:dyDescent="0.25">
      <c r="A26" t="s">
        <v>16</v>
      </c>
      <c r="B26">
        <v>5</v>
      </c>
      <c r="C26">
        <v>1</v>
      </c>
      <c r="D26">
        <v>14</v>
      </c>
      <c r="E26">
        <v>15</v>
      </c>
      <c r="F26">
        <v>14.5</v>
      </c>
      <c r="G26">
        <v>13.793100000000001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>
      <selection activeCell="O30" sqref="O30"/>
    </sheetView>
  </sheetViews>
  <sheetFormatPr baseColWidth="10" defaultRowHeight="15" x14ac:dyDescent="0.25"/>
  <cols>
    <col min="1" max="5" width="11.42578125" style="1"/>
  </cols>
  <sheetData>
    <row r="1" spans="1:18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G1" s="3" t="s">
        <v>17</v>
      </c>
      <c r="H1" s="3" t="s">
        <v>3</v>
      </c>
      <c r="I1" s="3" t="s">
        <v>4</v>
      </c>
      <c r="J1" s="3" t="s">
        <v>5</v>
      </c>
      <c r="K1" s="3" t="s">
        <v>6</v>
      </c>
      <c r="N1" s="6" t="s">
        <v>19</v>
      </c>
      <c r="O1" s="6" t="s">
        <v>18</v>
      </c>
      <c r="Q1">
        <v>126</v>
      </c>
      <c r="R1" s="5">
        <v>-1.3180000000000001</v>
      </c>
    </row>
    <row r="2" spans="1:18" x14ac:dyDescent="0.25">
      <c r="A2" s="1" t="s">
        <v>7</v>
      </c>
      <c r="B2" s="2">
        <v>146.11000000000001</v>
      </c>
      <c r="C2" s="2">
        <v>126.14</v>
      </c>
      <c r="D2" s="2">
        <v>136.13</v>
      </c>
      <c r="E2" s="2">
        <v>1.4692000000000001</v>
      </c>
      <c r="G2" s="3">
        <v>1</v>
      </c>
      <c r="H2" s="4">
        <f>AVERAGE(B2:B6)</f>
        <v>128.24200000000002</v>
      </c>
      <c r="I2" s="4">
        <f>AVERAGE(C2:C6)</f>
        <v>124.31800000000001</v>
      </c>
      <c r="J2" s="4">
        <f t="shared" ref="J2:K2" si="0">AVERAGE(D2:D6)</f>
        <v>126.28</v>
      </c>
      <c r="K2" s="4">
        <f t="shared" si="0"/>
        <v>1.5862000000000001</v>
      </c>
      <c r="N2" s="6">
        <v>1</v>
      </c>
      <c r="O2" s="7">
        <f>126*N2^$R$1</f>
        <v>126</v>
      </c>
    </row>
    <row r="3" spans="1:18" x14ac:dyDescent="0.25">
      <c r="A3" s="1" t="s">
        <v>8</v>
      </c>
      <c r="B3" s="2">
        <v>125.19</v>
      </c>
      <c r="C3" s="2">
        <v>125.29</v>
      </c>
      <c r="D3" s="2">
        <v>125.24</v>
      </c>
      <c r="E3" s="2">
        <v>1.5969</v>
      </c>
      <c r="G3" s="3">
        <v>5</v>
      </c>
      <c r="H3" s="4">
        <f>AVERAGE(B7:B26)</f>
        <v>16.145499999999998</v>
      </c>
      <c r="I3" s="4">
        <f t="shared" ref="I3:K3" si="1">AVERAGE(C7:C26)</f>
        <v>15.694999999999999</v>
      </c>
      <c r="J3" s="4">
        <f t="shared" si="1"/>
        <v>15.919499999999996</v>
      </c>
      <c r="K3" s="4">
        <f t="shared" si="1"/>
        <v>12.599569999999998</v>
      </c>
      <c r="N3" s="6">
        <v>2</v>
      </c>
      <c r="O3" s="7">
        <f t="shared" ref="O3:O11" si="2">126*N3^$R$1</f>
        <v>50.537413480206638</v>
      </c>
    </row>
    <row r="4" spans="1:18" x14ac:dyDescent="0.25">
      <c r="A4" s="1" t="s">
        <v>9</v>
      </c>
      <c r="B4" s="2">
        <v>121.01</v>
      </c>
      <c r="C4" s="2">
        <v>122.54</v>
      </c>
      <c r="D4" s="2">
        <v>121.77</v>
      </c>
      <c r="E4" s="2">
        <v>1.6424000000000001</v>
      </c>
      <c r="N4" s="6">
        <v>3</v>
      </c>
      <c r="O4" s="7">
        <f t="shared" si="2"/>
        <v>29.615886116504168</v>
      </c>
    </row>
    <row r="5" spans="1:18" x14ac:dyDescent="0.25">
      <c r="A5" s="1" t="s">
        <v>10</v>
      </c>
      <c r="B5" s="2">
        <v>124.2</v>
      </c>
      <c r="C5" s="2">
        <v>123.29</v>
      </c>
      <c r="D5" s="2">
        <v>123.75</v>
      </c>
      <c r="E5" s="2">
        <v>1.6162000000000001</v>
      </c>
      <c r="N5" s="6">
        <v>4</v>
      </c>
      <c r="O5" s="7">
        <f t="shared" si="2"/>
        <v>20.270080644995012</v>
      </c>
    </row>
    <row r="6" spans="1:18" x14ac:dyDescent="0.25">
      <c r="A6" s="1" t="s">
        <v>11</v>
      </c>
      <c r="B6" s="2">
        <v>124.7</v>
      </c>
      <c r="C6" s="2">
        <v>124.33</v>
      </c>
      <c r="D6" s="2">
        <v>124.51</v>
      </c>
      <c r="E6" s="2">
        <v>1.6063000000000001</v>
      </c>
      <c r="N6" s="6">
        <v>5</v>
      </c>
      <c r="O6" s="7">
        <f t="shared" si="2"/>
        <v>15.10525563200366</v>
      </c>
    </row>
    <row r="7" spans="1:18" x14ac:dyDescent="0.25">
      <c r="A7" s="1" t="s">
        <v>12</v>
      </c>
      <c r="B7" s="2">
        <v>16.53</v>
      </c>
      <c r="C7" s="2">
        <v>16.02</v>
      </c>
      <c r="D7" s="2">
        <v>16.27</v>
      </c>
      <c r="E7" s="2">
        <v>12.2926</v>
      </c>
      <c r="N7" s="6">
        <v>6</v>
      </c>
      <c r="O7" s="7">
        <f t="shared" si="2"/>
        <v>11.878653033749865</v>
      </c>
    </row>
    <row r="8" spans="1:18" x14ac:dyDescent="0.25">
      <c r="A8" s="1" t="s">
        <v>12</v>
      </c>
      <c r="B8" s="2">
        <v>17.03</v>
      </c>
      <c r="C8" s="2">
        <v>15.03</v>
      </c>
      <c r="D8" s="2">
        <v>16.03</v>
      </c>
      <c r="E8" s="2">
        <v>12.476599999999999</v>
      </c>
      <c r="N8" s="6">
        <v>7</v>
      </c>
      <c r="O8" s="7">
        <f t="shared" si="2"/>
        <v>9.6946320022543109</v>
      </c>
    </row>
    <row r="9" spans="1:18" x14ac:dyDescent="0.25">
      <c r="A9" s="1" t="s">
        <v>12</v>
      </c>
      <c r="B9" s="2">
        <v>15</v>
      </c>
      <c r="C9" s="2">
        <v>16</v>
      </c>
      <c r="D9" s="2">
        <v>15.5</v>
      </c>
      <c r="E9" s="2">
        <v>12.9032</v>
      </c>
      <c r="N9" s="6">
        <v>8</v>
      </c>
      <c r="O9" s="7">
        <f t="shared" si="2"/>
        <v>8.1301384669305321</v>
      </c>
    </row>
    <row r="10" spans="1:18" x14ac:dyDescent="0.25">
      <c r="A10" s="1" t="s">
        <v>12</v>
      </c>
      <c r="B10" s="2">
        <v>15.02</v>
      </c>
      <c r="C10" s="2">
        <v>15.53</v>
      </c>
      <c r="D10" s="2">
        <v>15.27</v>
      </c>
      <c r="E10" s="2">
        <v>13.0976</v>
      </c>
      <c r="N10" s="6">
        <v>9</v>
      </c>
      <c r="O10" s="7">
        <f t="shared" si="2"/>
        <v>6.9611167497281308</v>
      </c>
    </row>
    <row r="11" spans="1:18" x14ac:dyDescent="0.25">
      <c r="A11" s="1" t="s">
        <v>13</v>
      </c>
      <c r="B11" s="2">
        <v>18.07</v>
      </c>
      <c r="C11" s="2">
        <v>16.53</v>
      </c>
      <c r="D11" s="2">
        <v>17.3</v>
      </c>
      <c r="E11" s="2">
        <v>11.560700000000001</v>
      </c>
      <c r="N11" s="6">
        <v>10</v>
      </c>
      <c r="O11" s="7">
        <f t="shared" si="2"/>
        <v>6.058575790466576</v>
      </c>
    </row>
    <row r="12" spans="1:18" x14ac:dyDescent="0.25">
      <c r="A12" s="1" t="s">
        <v>13</v>
      </c>
      <c r="B12" s="2">
        <v>18.03</v>
      </c>
      <c r="C12" s="2">
        <v>17.03</v>
      </c>
      <c r="D12" s="2">
        <v>17.53</v>
      </c>
      <c r="E12" s="2">
        <v>11.409000000000001</v>
      </c>
    </row>
    <row r="13" spans="1:18" x14ac:dyDescent="0.25">
      <c r="A13" s="1" t="s">
        <v>13</v>
      </c>
      <c r="B13" s="2">
        <v>16</v>
      </c>
      <c r="C13" s="2">
        <v>16</v>
      </c>
      <c r="D13" s="2">
        <v>16</v>
      </c>
      <c r="E13" s="2">
        <v>12.5</v>
      </c>
    </row>
    <row r="14" spans="1:18" x14ac:dyDescent="0.25">
      <c r="A14" s="1" t="s">
        <v>13</v>
      </c>
      <c r="B14" s="2">
        <v>15.02</v>
      </c>
      <c r="C14" s="2">
        <v>15.53</v>
      </c>
      <c r="D14" s="2">
        <v>15.27</v>
      </c>
      <c r="E14" s="2">
        <v>13.0976</v>
      </c>
    </row>
    <row r="15" spans="1:18" x14ac:dyDescent="0.25">
      <c r="A15" s="1" t="s">
        <v>14</v>
      </c>
      <c r="B15" s="2">
        <v>17.57</v>
      </c>
      <c r="C15" s="2">
        <v>16.57</v>
      </c>
      <c r="D15" s="2">
        <v>17.07</v>
      </c>
      <c r="E15" s="2">
        <v>11.7165</v>
      </c>
    </row>
    <row r="16" spans="1:18" x14ac:dyDescent="0.25">
      <c r="A16" s="1" t="s">
        <v>14</v>
      </c>
      <c r="B16" s="2">
        <v>18</v>
      </c>
      <c r="C16" s="2">
        <v>16</v>
      </c>
      <c r="D16" s="2">
        <v>17</v>
      </c>
      <c r="E16" s="2">
        <v>11.764699999999999</v>
      </c>
    </row>
    <row r="17" spans="1:17" x14ac:dyDescent="0.25">
      <c r="A17" s="1" t="s">
        <v>14</v>
      </c>
      <c r="B17" s="2">
        <v>15.03</v>
      </c>
      <c r="C17" s="2">
        <v>16.03</v>
      </c>
      <c r="D17" s="2">
        <v>15.53</v>
      </c>
      <c r="E17" s="2">
        <v>12.878299999999999</v>
      </c>
    </row>
    <row r="18" spans="1:17" x14ac:dyDescent="0.25">
      <c r="A18" s="1" t="s">
        <v>14</v>
      </c>
      <c r="B18" s="2">
        <v>15.52</v>
      </c>
      <c r="C18" s="2">
        <v>15.52</v>
      </c>
      <c r="D18" s="2">
        <v>15.52</v>
      </c>
      <c r="E18" s="2">
        <v>12.8866</v>
      </c>
      <c r="N18" s="6" t="s">
        <v>18</v>
      </c>
      <c r="O18" s="6" t="s">
        <v>19</v>
      </c>
      <c r="Q18">
        <v>0.75880000000000003</v>
      </c>
    </row>
    <row r="19" spans="1:17" x14ac:dyDescent="0.25">
      <c r="A19" s="1" t="s">
        <v>15</v>
      </c>
      <c r="B19" s="2">
        <v>17.010000000000002</v>
      </c>
      <c r="C19" s="2">
        <v>15.5</v>
      </c>
      <c r="D19" s="2">
        <v>16.260000000000002</v>
      </c>
      <c r="E19" s="2">
        <v>12.3001</v>
      </c>
      <c r="N19" s="6">
        <v>160</v>
      </c>
      <c r="O19" s="8">
        <f>((126/N19)^$Q$18)</f>
        <v>0.83420910719017005</v>
      </c>
    </row>
    <row r="20" spans="1:17" x14ac:dyDescent="0.25">
      <c r="A20" s="1" t="s">
        <v>15</v>
      </c>
      <c r="B20" s="2">
        <v>18</v>
      </c>
      <c r="C20" s="2">
        <v>16</v>
      </c>
      <c r="D20" s="2">
        <v>17</v>
      </c>
      <c r="E20" s="2">
        <v>11.764699999999999</v>
      </c>
      <c r="N20" s="6">
        <f>N19-30</f>
        <v>130</v>
      </c>
      <c r="O20" s="8">
        <f t="shared" ref="O20:O24" si="3">((126/N20)^$Q$18)</f>
        <v>0.97656454746933541</v>
      </c>
    </row>
    <row r="21" spans="1:17" x14ac:dyDescent="0.25">
      <c r="A21" s="1" t="s">
        <v>15</v>
      </c>
      <c r="B21" s="2">
        <v>16</v>
      </c>
      <c r="C21" s="2">
        <v>16</v>
      </c>
      <c r="D21" s="2">
        <v>16</v>
      </c>
      <c r="E21" s="2">
        <v>12.5</v>
      </c>
      <c r="N21" s="6">
        <f t="shared" ref="N21:N24" si="4">N20-30</f>
        <v>100</v>
      </c>
      <c r="O21" s="8">
        <f t="shared" si="3"/>
        <v>1.1916841680755941</v>
      </c>
    </row>
    <row r="22" spans="1:17" x14ac:dyDescent="0.25">
      <c r="A22" s="1" t="s">
        <v>15</v>
      </c>
      <c r="B22" s="2">
        <v>15.52</v>
      </c>
      <c r="C22" s="2">
        <v>15.52</v>
      </c>
      <c r="D22" s="2">
        <v>15.52</v>
      </c>
      <c r="E22" s="2">
        <v>12.8866</v>
      </c>
      <c r="N22" s="6">
        <f t="shared" si="4"/>
        <v>70</v>
      </c>
      <c r="O22" s="8">
        <f t="shared" si="3"/>
        <v>1.5620710256145369</v>
      </c>
    </row>
    <row r="23" spans="1:17" x14ac:dyDescent="0.25">
      <c r="A23" s="1" t="s">
        <v>16</v>
      </c>
      <c r="B23" s="2">
        <v>16.03</v>
      </c>
      <c r="C23" s="2">
        <v>14.04</v>
      </c>
      <c r="D23" s="2">
        <v>15.03</v>
      </c>
      <c r="E23" s="2">
        <v>13.306699999999999</v>
      </c>
      <c r="N23" s="6">
        <f t="shared" si="4"/>
        <v>40</v>
      </c>
      <c r="O23" s="8">
        <f t="shared" si="3"/>
        <v>2.3884604165898948</v>
      </c>
    </row>
    <row r="24" spans="1:17" x14ac:dyDescent="0.25">
      <c r="A24" s="1" t="s">
        <v>16</v>
      </c>
      <c r="B24" s="2">
        <v>15.03</v>
      </c>
      <c r="C24" s="2">
        <v>15.03</v>
      </c>
      <c r="D24" s="2">
        <v>15.03</v>
      </c>
      <c r="E24" s="2">
        <v>13.306699999999999</v>
      </c>
      <c r="N24" s="6">
        <f t="shared" si="4"/>
        <v>10</v>
      </c>
      <c r="O24" s="8">
        <f t="shared" si="3"/>
        <v>6.8385050132475866</v>
      </c>
    </row>
    <row r="25" spans="1:17" x14ac:dyDescent="0.25">
      <c r="A25" s="1" t="s">
        <v>16</v>
      </c>
      <c r="B25" s="2">
        <v>14.5</v>
      </c>
      <c r="C25" s="2">
        <v>15.02</v>
      </c>
      <c r="D25" s="2">
        <v>14.76</v>
      </c>
      <c r="E25" s="2">
        <v>13.5501</v>
      </c>
    </row>
    <row r="26" spans="1:17" x14ac:dyDescent="0.25">
      <c r="A26" s="1" t="s">
        <v>16</v>
      </c>
      <c r="B26" s="2">
        <v>14</v>
      </c>
      <c r="C26" s="2">
        <v>15</v>
      </c>
      <c r="D26" s="2">
        <v>14.5</v>
      </c>
      <c r="E26" s="2">
        <v>13.793100000000001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calibration_results</vt:lpstr>
      <vt:lpstr>Tabelle1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Melzer</dc:creator>
  <cp:lastModifiedBy>R. M.</cp:lastModifiedBy>
  <dcterms:created xsi:type="dcterms:W3CDTF">2026-04-04T14:02:16Z</dcterms:created>
  <dcterms:modified xsi:type="dcterms:W3CDTF">2026-04-04T14:39:31Z</dcterms:modified>
</cp:coreProperties>
</file>